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eresiaka/Desktop/"/>
    </mc:Choice>
  </mc:AlternateContent>
  <xr:revisionPtr revIDLastSave="0" documentId="8_{6514642D-37B2-2346-9141-CFEC3DCB4ED7}" xr6:coauthVersionLast="47" xr6:coauthVersionMax="47" xr10:uidLastSave="{00000000-0000-0000-0000-000000000000}"/>
  <bookViews>
    <workbookView xWindow="0" yWindow="0" windowWidth="28800" windowHeight="18000" activeTab="1" xr2:uid="{37156FE3-19FB-7047-8031-1667C3B4D960}"/>
  </bookViews>
  <sheets>
    <sheet name="Saisir" sheetId="1" r:id="rId1"/>
    <sheet name="BD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7" i="1" l="1"/>
  <c r="E19" i="1"/>
  <c r="D19" i="1"/>
  <c r="C19" i="1"/>
</calcChain>
</file>

<file path=xl/sharedStrings.xml><?xml version="1.0" encoding="utf-8"?>
<sst xmlns="http://schemas.openxmlformats.org/spreadsheetml/2006/main" count="86" uniqueCount="59">
  <si>
    <t xml:space="preserve"> Nouveau Client</t>
  </si>
  <si>
    <t xml:space="preserve"> Situation</t>
  </si>
  <si>
    <t>Nom</t>
  </si>
  <si>
    <t>Prenom</t>
  </si>
  <si>
    <t>Adresse</t>
  </si>
  <si>
    <t>Ville</t>
  </si>
  <si>
    <t>Age</t>
  </si>
  <si>
    <t>N°telephone</t>
  </si>
  <si>
    <t>E-mail</t>
  </si>
  <si>
    <t>Origine</t>
  </si>
  <si>
    <t>Action à mener</t>
  </si>
  <si>
    <t>Commentaire</t>
  </si>
  <si>
    <t>Plus jeune</t>
  </si>
  <si>
    <t>Age moyen</t>
  </si>
  <si>
    <t>Plus âgé</t>
  </si>
  <si>
    <t>Paramètres</t>
  </si>
  <si>
    <t xml:space="preserve">Relance à faire </t>
  </si>
  <si>
    <t xml:space="preserve">Action  à mener </t>
  </si>
  <si>
    <t>prenom</t>
  </si>
  <si>
    <t>ville</t>
  </si>
  <si>
    <t>age</t>
  </si>
  <si>
    <t>n°telephone</t>
  </si>
  <si>
    <t>origine</t>
  </si>
  <si>
    <t>Commentaires</t>
  </si>
  <si>
    <t>à  relancer</t>
  </si>
  <si>
    <t>paris 5</t>
  </si>
  <si>
    <t>PARIS</t>
  </si>
  <si>
    <t>seresiaka7@gmail.com</t>
  </si>
  <si>
    <t>CIV</t>
  </si>
  <si>
    <t>paris 6</t>
  </si>
  <si>
    <t>paris 7</t>
  </si>
  <si>
    <t>paris 8</t>
  </si>
  <si>
    <t>paris 9</t>
  </si>
  <si>
    <t>paris 10</t>
  </si>
  <si>
    <t>paris 11</t>
  </si>
  <si>
    <t>Siaka1</t>
  </si>
  <si>
    <t>Siaka2</t>
  </si>
  <si>
    <t>Siaka3</t>
  </si>
  <si>
    <t>Siaka4</t>
  </si>
  <si>
    <t>Siaka5</t>
  </si>
  <si>
    <t>Siaka6</t>
  </si>
  <si>
    <t>Siaka7</t>
  </si>
  <si>
    <t>sere1</t>
  </si>
  <si>
    <t>sere2</t>
  </si>
  <si>
    <t>sere3</t>
  </si>
  <si>
    <t>sere4</t>
  </si>
  <si>
    <t>sere5</t>
  </si>
  <si>
    <t>sere6</t>
  </si>
  <si>
    <t>sere7</t>
  </si>
  <si>
    <t>Hello world-first</t>
  </si>
  <si>
    <t>à relancer1</t>
  </si>
  <si>
    <t>à relancer2</t>
  </si>
  <si>
    <t>à relancer3</t>
  </si>
  <si>
    <t>à relancer4</t>
  </si>
  <si>
    <t>à relancer5</t>
  </si>
  <si>
    <t>à relancer6</t>
  </si>
  <si>
    <t>à relancer7</t>
  </si>
  <si>
    <t>bamba@gmail.com</t>
  </si>
  <si>
    <t>how are you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</si>
</sst>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0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0" borderId="0" xfId="0" applyAlignment="1"/>
    <xf numFmtId="0" fontId="1" fillId="2" borderId="5" xfId="0" applyFont="1" applyFill="1" applyBorder="1" applyAlignment="1"/>
    <xf numFmtId="0" fontId="0" fillId="2" borderId="0" xfId="0" applyFill="1" applyBorder="1" applyAlignment="1"/>
    <xf numFmtId="0" fontId="0" fillId="3" borderId="0" xfId="0" applyFill="1" applyBorder="1" applyAlignment="1"/>
    <xf numFmtId="0" fontId="0" fillId="3" borderId="1" xfId="0" applyFill="1" applyBorder="1"/>
    <xf numFmtId="0" fontId="0" fillId="3" borderId="2" xfId="0" applyFill="1" applyBorder="1" applyAlignment="1"/>
    <xf numFmtId="0" fontId="0" fillId="0" borderId="3" xfId="0" applyBorder="1" applyAlignment="1"/>
    <xf numFmtId="0" fontId="0" fillId="0" borderId="4" xfId="0" applyBorder="1" applyAlignment="1"/>
    <xf numFmtId="0" fontId="0" fillId="0" borderId="5" xfId="0" applyBorder="1" applyAlignment="1"/>
    <xf numFmtId="0" fontId="0" fillId="0" borderId="0" xfId="0" applyBorder="1" applyAlignment="1"/>
    <xf numFmtId="0" fontId="0" fillId="0" borderId="6" xfId="0" applyBorder="1" applyAlignment="1"/>
    <xf numFmtId="0" fontId="0" fillId="0" borderId="7" xfId="0" applyBorder="1" applyAlignment="1"/>
    <xf numFmtId="0" fontId="0" fillId="0" borderId="8" xfId="0" applyBorder="1" applyAlignment="1"/>
    <xf numFmtId="0" fontId="0" fillId="0" borderId="9" xfId="0" applyBorder="1" applyAlignment="1"/>
    <xf numFmtId="0" fontId="0" fillId="3" borderId="0" xfId="0" applyFill="1" applyAlignment="1"/>
    <xf numFmtId="0" fontId="0" fillId="3" borderId="6" xfId="0" applyFill="1" applyBorder="1" applyAlignment="1"/>
    <xf numFmtId="0" fontId="0" fillId="2" borderId="0" xfId="0" applyFill="1" applyAlignment="1"/>
    <xf numFmtId="0" fontId="2" fillId="4" borderId="0" xfId="0" applyFont="1" applyFill="1"/>
    <xf numFmtId="0" fontId="0" fillId="0" borderId="13" xfId="0" applyBorder="1" applyAlignment="1"/>
    <xf numFmtId="0" fontId="0" fillId="3" borderId="1" xfId="0" applyFill="1" applyBorder="1" applyAlignment="1"/>
    <xf numFmtId="0" fontId="0" fillId="0" borderId="1" xfId="0" applyBorder="1" applyAlignment="1"/>
    <xf numFmtId="0" fontId="0" fillId="0" borderId="1" xfId="0" applyBorder="1"/>
    <xf numFmtId="0" fontId="0" fillId="3" borderId="2" xfId="0" applyFill="1" applyBorder="1" applyAlignment="1"/>
    <xf numFmtId="0" fontId="0" fillId="0" borderId="4" xfId="0" applyBorder="1" applyAlignment="1"/>
    <xf numFmtId="0" fontId="0" fillId="0" borderId="14" xfId="0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0" borderId="11" xfId="0" applyBorder="1" applyAlignment="1"/>
    <xf numFmtId="0" fontId="0" fillId="0" borderId="12" xfId="0" applyBorder="1" applyAlignment="1"/>
    <xf numFmtId="0" fontId="3" fillId="0" borderId="0" xfId="1"/>
    <xf numFmtId="0" fontId="0" fillId="5" borderId="0" xfId="0" applyFill="1" applyAlignment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Mon Graphique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BD!$A$8:$I$8</c:f>
              <c:strCache>
                <c:ptCount val="9"/>
                <c:pt idx="0">
                  <c:v>sere7</c:v>
                </c:pt>
                <c:pt idx="1">
                  <c:v>Siaka7</c:v>
                </c:pt>
                <c:pt idx="2">
                  <c:v>paris 11</c:v>
                </c:pt>
                <c:pt idx="3">
                  <c:v>PARIS</c:v>
                </c:pt>
                <c:pt idx="4">
                  <c:v>22</c:v>
                </c:pt>
                <c:pt idx="5">
                  <c:v>646596905</c:v>
                </c:pt>
                <c:pt idx="6">
                  <c:v>bamba@gmail.com</c:v>
                </c:pt>
                <c:pt idx="7">
                  <c:v>CIV</c:v>
                </c:pt>
                <c:pt idx="8">
                  <c:v>à relancer7</c:v>
                </c:pt>
              </c:strCache>
            </c:strRef>
          </c:tx>
          <c:invertIfNegative val="0"/>
          <c:cat>
            <c:strRef>
              <c:f>BD!$J$1:$J$7</c:f>
              <c:strCache>
                <c:ptCount val="7"/>
                <c:pt idx="0">
                  <c:v>Commentaires</c:v>
                </c:pt>
                <c:pt idx="1">
                  <c:v>Hello world-first</c:v>
                </c:pt>
                <c:pt idx="2">
                  <c:v>Hello world-first</c:v>
                </c:pt>
                <c:pt idx="3">
                  <c:v>Hello world-first</c:v>
                </c:pt>
                <c:pt idx="4">
                  <c:v>Hello world-first</c:v>
                </c:pt>
                <c:pt idx="5">
                  <c:v>Hello world-first</c:v>
                </c:pt>
                <c:pt idx="6">
                  <c:v>Hello world-first</c:v>
                </c:pt>
              </c:strCache>
            </c:strRef>
          </c:cat>
          <c:val>
            <c:numRef>
              <c:f>BD!$J$8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B2-774C-B915-24CB29640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9684560"/>
        <c:axId val="422201296"/>
      </c:barChart>
      <c:catAx>
        <c:axId val="379684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2201296"/>
        <c:crosses val="autoZero"/>
        <c:auto val="1"/>
        <c:lblAlgn val="ctr"/>
        <c:lblOffset val="100"/>
        <c:noMultiLvlLbl val="0"/>
      </c:catAx>
      <c:valAx>
        <c:axId val="422201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968456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Mon Graphique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BD!$A$8:$I$8</c:f>
              <c:strCache>
                <c:ptCount val="9"/>
                <c:pt idx="0">
                  <c:v>sere7</c:v>
                </c:pt>
                <c:pt idx="1">
                  <c:v>Siaka7</c:v>
                </c:pt>
                <c:pt idx="2">
                  <c:v>paris 11</c:v>
                </c:pt>
                <c:pt idx="3">
                  <c:v>PARIS</c:v>
                </c:pt>
                <c:pt idx="4">
                  <c:v>22</c:v>
                </c:pt>
                <c:pt idx="5">
                  <c:v>646596905</c:v>
                </c:pt>
                <c:pt idx="6">
                  <c:v>bamba@gmail.com</c:v>
                </c:pt>
                <c:pt idx="7">
                  <c:v>CIV</c:v>
                </c:pt>
                <c:pt idx="8">
                  <c:v>à relancer7</c:v>
                </c:pt>
              </c:strCache>
            </c:strRef>
          </c:tx>
          <c:invertIfNegative val="0"/>
          <c:cat>
            <c:strRef>
              <c:f>BD!$J$1:$J$7</c:f>
              <c:strCache>
                <c:ptCount val="7"/>
                <c:pt idx="0">
                  <c:v>Commentaires</c:v>
                </c:pt>
                <c:pt idx="1">
                  <c:v>Hello world-first</c:v>
                </c:pt>
                <c:pt idx="2">
                  <c:v>Hello world-first</c:v>
                </c:pt>
                <c:pt idx="3">
                  <c:v>Hello world-first</c:v>
                </c:pt>
                <c:pt idx="4">
                  <c:v>Hello world-first</c:v>
                </c:pt>
                <c:pt idx="5">
                  <c:v>Hello world-first</c:v>
                </c:pt>
                <c:pt idx="6">
                  <c:v>Hello world-first</c:v>
                </c:pt>
              </c:strCache>
            </c:strRef>
          </c:cat>
          <c:val>
            <c:numRef>
              <c:f>BD!$J$8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0B-4D47-9D2E-717B37BAD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9552608"/>
        <c:axId val="279554336"/>
      </c:barChart>
      <c:catAx>
        <c:axId val="27955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79554336"/>
        <c:crosses val="autoZero"/>
        <c:auto val="1"/>
        <c:lblAlgn val="ctr"/>
        <c:lblOffset val="100"/>
        <c:noMultiLvlLbl val="0"/>
      </c:catAx>
      <c:valAx>
        <c:axId val="279554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955260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Graphique de rapport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BD!$A$8:$I$8</c:f>
              <c:strCache>
                <c:ptCount val="9"/>
                <c:pt idx="0">
                  <c:v>sere7</c:v>
                </c:pt>
                <c:pt idx="1">
                  <c:v>Siaka7</c:v>
                </c:pt>
                <c:pt idx="2">
                  <c:v>paris 11</c:v>
                </c:pt>
                <c:pt idx="3">
                  <c:v>PARIS</c:v>
                </c:pt>
                <c:pt idx="4">
                  <c:v>22</c:v>
                </c:pt>
                <c:pt idx="5">
                  <c:v>646596905</c:v>
                </c:pt>
                <c:pt idx="6">
                  <c:v>bamba@gmail.com</c:v>
                </c:pt>
                <c:pt idx="7">
                  <c:v>CIV</c:v>
                </c:pt>
                <c:pt idx="8">
                  <c:v>à relancer7</c:v>
                </c:pt>
              </c:strCache>
            </c:strRef>
          </c:tx>
          <c:invertIfNegative val="0"/>
          <c:cat>
            <c:strRef>
              <c:f>BD!$J$1:$J$7</c:f>
              <c:strCache>
                <c:ptCount val="7"/>
                <c:pt idx="0">
                  <c:v>Commentaires</c:v>
                </c:pt>
                <c:pt idx="1">
                  <c:v>Hello world-first</c:v>
                </c:pt>
                <c:pt idx="2">
                  <c:v>Hello world-first</c:v>
                </c:pt>
                <c:pt idx="3">
                  <c:v>Hello world-first</c:v>
                </c:pt>
                <c:pt idx="4">
                  <c:v>Hello world-first</c:v>
                </c:pt>
                <c:pt idx="5">
                  <c:v>Hello world-first</c:v>
                </c:pt>
                <c:pt idx="6">
                  <c:v>Hello world-first</c:v>
                </c:pt>
              </c:strCache>
            </c:strRef>
          </c:cat>
          <c:val>
            <c:numRef>
              <c:f>BD!$J$8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0D-4F43-B3DE-B86F8FD66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1698800"/>
        <c:axId val="422498640"/>
      </c:barChart>
      <c:catAx>
        <c:axId val="421698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2498640"/>
        <c:crosses val="autoZero"/>
        <c:auto val="1"/>
        <c:lblAlgn val="ctr"/>
        <c:lblOffset val="100"/>
        <c:noMultiLvlLbl val="0"/>
      </c:catAx>
      <c:valAx>
        <c:axId val="42249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16988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14</xdr:col>
      <xdr:colOff>508000</xdr:colOff>
      <xdr:row>12</xdr:row>
      <xdr:rowOff>63500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1B7C58D3-F550-9600-34DD-881CF23FA9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0</xdr:row>
      <xdr:rowOff>0</xdr:rowOff>
    </xdr:from>
    <xdr:to>
      <xdr:col>14</xdr:col>
      <xdr:colOff>508000</xdr:colOff>
      <xdr:row>12</xdr:row>
      <xdr:rowOff>63500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6CFEEF70-1195-8064-CC63-B66A617467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0</xdr:row>
      <xdr:rowOff>0</xdr:rowOff>
    </xdr:from>
    <xdr:to>
      <xdr:col>14</xdr:col>
      <xdr:colOff>508000</xdr:colOff>
      <xdr:row>12</xdr:row>
      <xdr:rowOff>63500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24F07F1-2BB2-A3EF-991E-9E60542504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mailto:bamba@gmail.com" TargetMode="External"/><Relationship Id="rId1" Type="http://schemas.openxmlformats.org/officeDocument/2006/relationships/hyperlink" Target="mailto:seresiaka7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DBBCA-1D3E-7C4A-9BD6-95F9DE62A38C}">
  <sheetPr codeName="Feuil1"/>
  <dimension ref="A1:L30"/>
  <sheetViews>
    <sheetView showGridLines="0" workbookViewId="0">
      <selection activeCell="D4" sqref="D4"/>
    </sheetView>
  </sheetViews>
  <sheetFormatPr baseColWidth="10" defaultRowHeight="16" x14ac:dyDescent="0.2"/>
  <cols>
    <col min="1" max="1" width="13.1640625" customWidth="1"/>
    <col min="10" max="10" width="12.33203125" customWidth="1"/>
    <col min="11" max="11" width="14.1640625" customWidth="1"/>
    <col min="12" max="12" width="19.1640625" customWidth="1"/>
  </cols>
  <sheetData>
    <row r="1" spans="1:12" x14ac:dyDescent="0.2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3"/>
    </row>
    <row r="2" spans="1:12" x14ac:dyDescent="0.2">
      <c r="A2" s="4"/>
      <c r="B2" s="5"/>
      <c r="C2" s="5" t="s">
        <v>2</v>
      </c>
      <c r="D2" s="14"/>
      <c r="E2" s="5"/>
      <c r="F2" s="5" t="s">
        <v>6</v>
      </c>
      <c r="G2" s="14"/>
      <c r="H2" s="5"/>
      <c r="I2" s="12" t="s">
        <v>10</v>
      </c>
      <c r="J2" s="10"/>
      <c r="K2" s="14"/>
      <c r="L2" s="6"/>
    </row>
    <row r="3" spans="1:12" x14ac:dyDescent="0.2">
      <c r="A3" s="4"/>
      <c r="B3" s="5"/>
      <c r="C3" s="5"/>
      <c r="D3" s="5"/>
      <c r="E3" s="5"/>
      <c r="F3" s="5"/>
      <c r="G3" s="5"/>
      <c r="H3" s="5"/>
      <c r="I3" s="5"/>
      <c r="J3" s="5"/>
      <c r="K3" s="5"/>
      <c r="L3" s="6"/>
    </row>
    <row r="4" spans="1:12" x14ac:dyDescent="0.2">
      <c r="A4" s="4"/>
      <c r="B4" s="5"/>
      <c r="C4" s="5" t="s">
        <v>3</v>
      </c>
      <c r="D4" s="14"/>
      <c r="E4" s="5"/>
      <c r="F4" s="5" t="s">
        <v>7</v>
      </c>
      <c r="G4" s="14"/>
      <c r="H4" s="5"/>
      <c r="I4" s="5"/>
      <c r="J4" s="5"/>
      <c r="K4" s="5"/>
      <c r="L4" s="6"/>
    </row>
    <row r="5" spans="1:12" x14ac:dyDescent="0.2">
      <c r="A5" s="4"/>
      <c r="B5" s="5"/>
      <c r="C5" s="5"/>
      <c r="D5" s="5"/>
      <c r="E5" s="5"/>
      <c r="F5" s="5"/>
      <c r="G5" s="5"/>
      <c r="H5" s="5"/>
      <c r="I5" s="12" t="s">
        <v>11</v>
      </c>
      <c r="J5" s="10"/>
      <c r="K5" s="5"/>
      <c r="L5" s="6"/>
    </row>
    <row r="6" spans="1:12" x14ac:dyDescent="0.2">
      <c r="A6" s="4"/>
      <c r="B6" s="5"/>
      <c r="C6" s="5" t="s">
        <v>4</v>
      </c>
      <c r="D6" s="14"/>
      <c r="E6" s="5"/>
      <c r="F6" s="5" t="s">
        <v>8</v>
      </c>
      <c r="G6" s="14"/>
      <c r="H6" s="5"/>
      <c r="I6" s="5"/>
      <c r="J6" s="5"/>
      <c r="K6" s="5"/>
      <c r="L6" s="6"/>
    </row>
    <row r="7" spans="1:12" ht="26" x14ac:dyDescent="0.3">
      <c r="A7" s="11" t="s">
        <v>0</v>
      </c>
      <c r="B7" s="10"/>
      <c r="C7" s="5"/>
      <c r="D7" s="5"/>
      <c r="E7" s="5"/>
      <c r="F7" s="5"/>
      <c r="G7" s="5"/>
      <c r="H7" s="5"/>
      <c r="I7" s="15"/>
      <c r="J7" s="16"/>
      <c r="K7" s="17"/>
      <c r="L7" s="6"/>
    </row>
    <row r="8" spans="1:12" ht="16" customHeight="1" x14ac:dyDescent="0.2">
      <c r="A8" s="4"/>
      <c r="B8" s="5"/>
      <c r="C8" s="5" t="s">
        <v>5</v>
      </c>
      <c r="D8" s="14"/>
      <c r="E8" s="5"/>
      <c r="F8" s="5" t="s">
        <v>9</v>
      </c>
      <c r="G8" s="14"/>
      <c r="H8" s="5"/>
      <c r="I8" s="18"/>
      <c r="J8" s="19"/>
      <c r="K8" s="20"/>
      <c r="L8" s="6"/>
    </row>
    <row r="9" spans="1:12" ht="16" customHeight="1" x14ac:dyDescent="0.2">
      <c r="A9" s="4"/>
      <c r="B9" s="5"/>
      <c r="C9" s="5"/>
      <c r="D9" s="5"/>
      <c r="E9" s="5"/>
      <c r="F9" s="5"/>
      <c r="G9" s="5"/>
      <c r="H9" s="5"/>
      <c r="I9" s="18"/>
      <c r="J9" s="19"/>
      <c r="K9" s="20"/>
      <c r="L9" s="6"/>
    </row>
    <row r="10" spans="1:12" x14ac:dyDescent="0.2">
      <c r="A10" s="4"/>
      <c r="B10" s="5"/>
      <c r="C10" s="5"/>
      <c r="D10" s="5"/>
      <c r="E10" s="5"/>
      <c r="F10" s="5"/>
      <c r="G10" s="5"/>
      <c r="H10" s="5"/>
      <c r="I10" s="18"/>
      <c r="J10" s="19"/>
      <c r="K10" s="20"/>
      <c r="L10" s="6"/>
    </row>
    <row r="11" spans="1:12" x14ac:dyDescent="0.2">
      <c r="A11" s="4"/>
      <c r="B11" s="5"/>
      <c r="C11" s="5"/>
      <c r="D11" s="5"/>
      <c r="E11" s="5"/>
      <c r="F11" s="5"/>
      <c r="G11" s="5"/>
      <c r="H11" s="5"/>
      <c r="I11" s="18"/>
      <c r="J11" s="19"/>
      <c r="K11" s="20"/>
      <c r="L11" s="6"/>
    </row>
    <row r="12" spans="1:12" x14ac:dyDescent="0.2">
      <c r="A12" s="4"/>
      <c r="B12" s="5"/>
      <c r="C12" s="35"/>
      <c r="D12" s="5"/>
      <c r="E12" s="5"/>
      <c r="F12" s="5"/>
      <c r="G12" s="5"/>
      <c r="H12" s="5"/>
      <c r="I12" s="18"/>
      <c r="J12" s="19"/>
      <c r="K12" s="20"/>
      <c r="L12" s="6"/>
    </row>
    <row r="13" spans="1:12" x14ac:dyDescent="0.2">
      <c r="A13" s="4"/>
      <c r="B13" s="5"/>
      <c r="C13" s="5"/>
      <c r="D13" s="5"/>
      <c r="E13" s="5"/>
      <c r="F13" s="5"/>
      <c r="G13" s="5"/>
      <c r="H13" s="5"/>
      <c r="I13" s="21"/>
      <c r="J13" s="22"/>
      <c r="K13" s="23"/>
      <c r="L13" s="6"/>
    </row>
    <row r="14" spans="1:12" x14ac:dyDescent="0.2">
      <c r="A14" s="4"/>
      <c r="B14" s="5"/>
      <c r="C14" s="5"/>
      <c r="D14" s="5"/>
      <c r="E14" s="5"/>
      <c r="F14" s="5"/>
      <c r="G14" s="5"/>
      <c r="H14" s="5"/>
      <c r="I14" s="5"/>
      <c r="J14" s="5"/>
      <c r="K14" s="5"/>
      <c r="L14" s="6"/>
    </row>
    <row r="15" spans="1:12" x14ac:dyDescent="0.2">
      <c r="A15" s="1"/>
      <c r="B15" s="2"/>
      <c r="C15" s="2"/>
      <c r="D15" s="2"/>
      <c r="E15" s="2"/>
      <c r="F15" s="2"/>
      <c r="G15" s="2"/>
      <c r="H15" s="2"/>
      <c r="I15" s="2"/>
      <c r="J15" s="2"/>
      <c r="K15" s="2"/>
      <c r="L15" s="3"/>
    </row>
    <row r="16" spans="1:12" x14ac:dyDescent="0.2">
      <c r="A16" s="4"/>
      <c r="B16" s="5"/>
      <c r="C16" s="5" t="s">
        <v>12</v>
      </c>
      <c r="D16" s="5" t="s">
        <v>13</v>
      </c>
      <c r="E16" s="5" t="s">
        <v>14</v>
      </c>
      <c r="F16" s="26" t="s">
        <v>16</v>
      </c>
      <c r="G16" s="26"/>
      <c r="H16" s="5"/>
      <c r="I16" s="5"/>
      <c r="J16" s="13" t="s">
        <v>15</v>
      </c>
      <c r="K16" s="24"/>
      <c r="L16" s="25"/>
    </row>
    <row r="17" spans="1:12" x14ac:dyDescent="0.2">
      <c r="A17" s="4"/>
      <c r="B17" s="5"/>
      <c r="C17" s="5"/>
      <c r="D17" s="5"/>
      <c r="E17" s="5"/>
      <c r="F17" s="15">
        <f>COUNTIF(BD!I1,"à relancer")</f>
        <v>0</v>
      </c>
      <c r="G17" s="17"/>
      <c r="H17" s="5"/>
      <c r="I17" s="35"/>
      <c r="J17" s="28" t="s">
        <v>9</v>
      </c>
      <c r="K17" s="32" t="s">
        <v>17</v>
      </c>
      <c r="L17" s="33"/>
    </row>
    <row r="18" spans="1:12" x14ac:dyDescent="0.2">
      <c r="A18" s="4"/>
      <c r="B18" s="5"/>
      <c r="C18" s="5"/>
      <c r="D18" s="5"/>
      <c r="E18" s="5"/>
      <c r="F18" s="18"/>
      <c r="G18" s="20"/>
      <c r="H18" s="5"/>
      <c r="I18" s="35"/>
      <c r="J18" s="34"/>
      <c r="K18" s="30" t="s">
        <v>24</v>
      </c>
      <c r="L18" s="30"/>
    </row>
    <row r="19" spans="1:12" x14ac:dyDescent="0.2">
      <c r="A19" s="4"/>
      <c r="B19" s="5"/>
      <c r="C19" s="36">
        <f>MIN(BD!E1)</f>
        <v>0</v>
      </c>
      <c r="D19" s="36">
        <f>IFERROR(AVERAGE(BD!E1),)</f>
        <v>0</v>
      </c>
      <c r="E19" s="36">
        <f>MAX(BD!E1)</f>
        <v>0</v>
      </c>
      <c r="F19" s="18"/>
      <c r="G19" s="20"/>
      <c r="H19" s="5"/>
      <c r="I19" s="35"/>
      <c r="J19" s="34"/>
      <c r="K19" s="30"/>
      <c r="L19" s="31"/>
    </row>
    <row r="20" spans="1:12" x14ac:dyDescent="0.2">
      <c r="A20" s="4"/>
      <c r="B20" s="5"/>
      <c r="C20" s="37"/>
      <c r="D20" s="37"/>
      <c r="E20" s="37"/>
      <c r="F20" s="18"/>
      <c r="G20" s="20"/>
      <c r="H20" s="5"/>
      <c r="I20" s="35"/>
      <c r="J20" s="34"/>
      <c r="K20" s="29"/>
      <c r="L20" s="30"/>
    </row>
    <row r="21" spans="1:12" x14ac:dyDescent="0.2">
      <c r="A21" s="4"/>
      <c r="B21" s="5"/>
      <c r="C21" s="37"/>
      <c r="D21" s="37"/>
      <c r="E21" s="37"/>
      <c r="F21" s="18"/>
      <c r="G21" s="20"/>
      <c r="H21" s="5"/>
      <c r="I21" s="35"/>
      <c r="J21" s="34"/>
      <c r="K21" s="29"/>
      <c r="L21" s="30"/>
    </row>
    <row r="22" spans="1:12" ht="26" x14ac:dyDescent="0.3">
      <c r="A22" s="11" t="s">
        <v>1</v>
      </c>
      <c r="B22" s="10"/>
      <c r="C22" s="38"/>
      <c r="D22" s="38"/>
      <c r="E22" s="38"/>
      <c r="F22" s="21"/>
      <c r="G22" s="23"/>
      <c r="H22" s="5"/>
      <c r="I22" s="35"/>
      <c r="J22" s="34"/>
      <c r="K22" s="29"/>
      <c r="L22" s="30"/>
    </row>
    <row r="23" spans="1:12" x14ac:dyDescent="0.2">
      <c r="A23" s="4"/>
      <c r="B23" s="5"/>
      <c r="C23" s="5"/>
      <c r="D23" s="5"/>
      <c r="E23" s="5"/>
      <c r="F23" s="5"/>
      <c r="G23" s="5"/>
      <c r="H23" s="5"/>
      <c r="I23" s="35"/>
      <c r="J23" s="34"/>
      <c r="K23" s="29"/>
      <c r="L23" s="30"/>
    </row>
    <row r="24" spans="1:12" x14ac:dyDescent="0.2">
      <c r="A24" s="4"/>
      <c r="B24" s="5"/>
      <c r="C24" s="5"/>
      <c r="D24" s="5"/>
      <c r="E24" s="5"/>
      <c r="F24" s="5"/>
      <c r="G24" s="5"/>
      <c r="H24" s="5"/>
      <c r="I24" s="35"/>
      <c r="J24" s="34"/>
      <c r="K24" s="29"/>
      <c r="L24" s="30"/>
    </row>
    <row r="25" spans="1:12" x14ac:dyDescent="0.2">
      <c r="A25" s="4"/>
      <c r="B25" s="5"/>
      <c r="C25" s="5"/>
      <c r="D25" s="5"/>
      <c r="E25" s="5"/>
      <c r="F25" s="5"/>
      <c r="G25" s="5"/>
      <c r="H25" s="5"/>
      <c r="I25" s="35"/>
      <c r="J25" s="34"/>
      <c r="K25" s="29"/>
      <c r="L25" s="30"/>
    </row>
    <row r="26" spans="1:12" x14ac:dyDescent="0.2">
      <c r="A26" s="4"/>
      <c r="B26" s="5"/>
      <c r="C26" s="5"/>
      <c r="D26" s="5"/>
      <c r="E26" s="5"/>
      <c r="F26" s="5"/>
      <c r="G26" s="35"/>
      <c r="H26" s="5"/>
      <c r="I26" s="35"/>
      <c r="J26" s="34"/>
      <c r="K26" s="29"/>
      <c r="L26" s="30"/>
    </row>
    <row r="27" spans="1:12" x14ac:dyDescent="0.2">
      <c r="A27" s="4"/>
      <c r="B27" s="5"/>
      <c r="C27" s="5"/>
      <c r="D27" s="5"/>
      <c r="E27" s="5"/>
      <c r="F27" s="5"/>
      <c r="G27" s="5"/>
      <c r="H27" s="5"/>
      <c r="I27" s="5"/>
      <c r="J27" s="5"/>
      <c r="K27" s="5"/>
      <c r="L27" s="6"/>
    </row>
    <row r="28" spans="1:12" x14ac:dyDescent="0.2">
      <c r="A28" s="4"/>
      <c r="B28" s="5"/>
      <c r="C28" s="5"/>
      <c r="D28" s="5"/>
      <c r="E28" s="5"/>
      <c r="F28" s="5"/>
      <c r="G28" s="5"/>
      <c r="H28" s="5"/>
      <c r="I28" s="5"/>
      <c r="J28" s="5"/>
      <c r="K28" s="5"/>
      <c r="L28" s="6"/>
    </row>
    <row r="29" spans="1:12" x14ac:dyDescent="0.2">
      <c r="A29" s="4"/>
      <c r="B29" s="5"/>
      <c r="C29" s="5"/>
      <c r="D29" s="5"/>
      <c r="E29" s="5"/>
      <c r="F29" s="5"/>
      <c r="G29" s="5"/>
      <c r="H29" s="5"/>
      <c r="I29" s="5"/>
      <c r="J29" s="5"/>
      <c r="K29" s="5"/>
      <c r="L29" s="6"/>
    </row>
    <row r="30" spans="1:12" x14ac:dyDescent="0.2">
      <c r="A30" s="7"/>
      <c r="B30" s="8"/>
      <c r="C30" s="8"/>
      <c r="D30" s="8"/>
      <c r="E30" s="8"/>
      <c r="F30" s="8"/>
      <c r="G30" s="8"/>
      <c r="H30" s="8"/>
      <c r="I30" s="8"/>
      <c r="J30" s="8"/>
      <c r="K30" s="8"/>
      <c r="L30" s="9"/>
    </row>
  </sheetData>
  <mergeCells count="11">
    <mergeCell ref="F16:G16"/>
    <mergeCell ref="C19:C22"/>
    <mergeCell ref="D19:D22"/>
    <mergeCell ref="E19:E22"/>
    <mergeCell ref="F17:G22"/>
    <mergeCell ref="A7:B7"/>
    <mergeCell ref="A22:B22"/>
    <mergeCell ref="I2:J2"/>
    <mergeCell ref="I5:J5"/>
    <mergeCell ref="I7:K13"/>
    <mergeCell ref="J16:L16"/>
  </mergeCells>
  <dataValidations count="2">
    <dataValidation type="list" allowBlank="1" showInputMessage="1" showErrorMessage="1" sqref="K2" xr:uid="{3389F250-436C-E847-87D3-3981D7A1BC08}">
      <formula1>$K$18:$K$26</formula1>
    </dataValidation>
    <dataValidation type="list" allowBlank="1" showInputMessage="1" showErrorMessage="1" sqref="G8" xr:uid="{B3923BEF-3FAC-E14B-ADAA-CCF9524248CF}">
      <formula1>$J$18:$J$26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C60AD-6935-0245-9AD6-BFF6A729F6E5}">
  <sheetPr codeName="Feuil2"/>
  <dimension ref="A1:J8"/>
  <sheetViews>
    <sheetView tabSelected="1" workbookViewId="0">
      <selection activeCell="I18" sqref="I18"/>
    </sheetView>
  </sheetViews>
  <sheetFormatPr baseColWidth="10" defaultRowHeight="16" x14ac:dyDescent="0.2"/>
  <cols>
    <col min="1" max="1" width="12" customWidth="1"/>
    <col min="6" max="6" width="12.5" customWidth="1"/>
    <col min="7" max="7" width="20" customWidth="1"/>
    <col min="9" max="9" width="15.1640625" customWidth="1"/>
    <col min="10" max="10" width="14.1640625" customWidth="1"/>
  </cols>
  <sheetData>
    <row r="1" spans="1:10" ht="19" x14ac:dyDescent="0.25">
      <c r="A1" s="27" t="s">
        <v>2</v>
      </c>
      <c r="B1" s="27" t="s">
        <v>18</v>
      </c>
      <c r="C1" s="27" t="s">
        <v>4</v>
      </c>
      <c r="D1" s="27" t="s">
        <v>19</v>
      </c>
      <c r="E1" s="27" t="s">
        <v>20</v>
      </c>
      <c r="F1" s="27" t="s">
        <v>21</v>
      </c>
      <c r="G1" s="27" t="s">
        <v>8</v>
      </c>
      <c r="H1" s="27" t="s">
        <v>22</v>
      </c>
      <c r="I1" s="27" t="s">
        <v>10</v>
      </c>
      <c r="J1" s="27" t="s">
        <v>23</v>
      </c>
    </row>
    <row r="2" spans="1:10" x14ac:dyDescent="0.2">
      <c r="A2" s="40" t="s">
        <v>42</v>
      </c>
      <c r="B2" s="40" t="s">
        <v>35</v>
      </c>
      <c r="C2" s="40" t="s">
        <v>25</v>
      </c>
      <c r="D2" t="s">
        <v>26</v>
      </c>
      <c r="E2">
        <v>26</v>
      </c>
      <c r="F2">
        <v>646596905</v>
      </c>
      <c r="G2" s="39" t="s">
        <v>27</v>
      </c>
      <c r="H2" t="s">
        <v>28</v>
      </c>
      <c r="I2" t="s">
        <v>50</v>
      </c>
      <c r="J2" t="s">
        <v>49</v>
      </c>
    </row>
    <row r="3" spans="1:10" x14ac:dyDescent="0.2">
      <c r="A3" s="40" t="s">
        <v>43</v>
      </c>
      <c r="B3" s="40" t="s">
        <v>36</v>
      </c>
      <c r="C3" s="40" t="s">
        <v>29</v>
      </c>
      <c r="D3" t="s">
        <v>26</v>
      </c>
      <c r="E3">
        <v>20</v>
      </c>
      <c r="F3">
        <v>646596905</v>
      </c>
      <c r="G3" s="39" t="s">
        <v>27</v>
      </c>
      <c r="H3" t="s">
        <v>28</v>
      </c>
      <c r="I3" t="s">
        <v>51</v>
      </c>
      <c r="J3" t="s">
        <v>49</v>
      </c>
    </row>
    <row r="4" spans="1:10" x14ac:dyDescent="0.2">
      <c r="A4" s="40" t="s">
        <v>44</v>
      </c>
      <c r="B4" s="40" t="s">
        <v>37</v>
      </c>
      <c r="C4" s="40" t="s">
        <v>30</v>
      </c>
      <c r="D4" t="s">
        <v>26</v>
      </c>
      <c r="E4">
        <v>22</v>
      </c>
      <c r="F4">
        <v>646596905</v>
      </c>
      <c r="G4" s="39" t="s">
        <v>27</v>
      </c>
      <c r="H4" t="s">
        <v>28</v>
      </c>
      <c r="I4" t="s">
        <v>52</v>
      </c>
      <c r="J4" t="s">
        <v>49</v>
      </c>
    </row>
    <row r="5" spans="1:10" x14ac:dyDescent="0.2">
      <c r="A5" s="40" t="s">
        <v>45</v>
      </c>
      <c r="B5" s="40" t="s">
        <v>38</v>
      </c>
      <c r="C5" s="40" t="s">
        <v>31</v>
      </c>
      <c r="D5" t="s">
        <v>26</v>
      </c>
      <c r="E5">
        <v>22</v>
      </c>
      <c r="F5">
        <v>646596905</v>
      </c>
      <c r="G5" s="39" t="s">
        <v>27</v>
      </c>
      <c r="H5" t="s">
        <v>28</v>
      </c>
      <c r="I5" t="s">
        <v>53</v>
      </c>
      <c r="J5" t="s">
        <v>49</v>
      </c>
    </row>
    <row r="6" spans="1:10" x14ac:dyDescent="0.2">
      <c r="A6" s="40" t="s">
        <v>46</v>
      </c>
      <c r="B6" s="40" t="s">
        <v>39</v>
      </c>
      <c r="C6" s="40" t="s">
        <v>32</v>
      </c>
      <c r="D6" t="s">
        <v>26</v>
      </c>
      <c r="E6">
        <v>22</v>
      </c>
      <c r="F6">
        <v>646596905</v>
      </c>
      <c r="G6" s="39" t="s">
        <v>27</v>
      </c>
      <c r="H6" t="s">
        <v>28</v>
      </c>
      <c r="I6" t="s">
        <v>54</v>
      </c>
      <c r="J6" t="s">
        <v>49</v>
      </c>
    </row>
    <row r="7" spans="1:10" x14ac:dyDescent="0.2">
      <c r="A7" s="40" t="s">
        <v>47</v>
      </c>
      <c r="B7" s="40" t="s">
        <v>40</v>
      </c>
      <c r="C7" s="40" t="s">
        <v>33</v>
      </c>
      <c r="D7" t="s">
        <v>26</v>
      </c>
      <c r="E7">
        <v>22</v>
      </c>
      <c r="F7">
        <v>646596905</v>
      </c>
      <c r="G7" s="39" t="s">
        <v>27</v>
      </c>
      <c r="H7" t="s">
        <v>28</v>
      </c>
      <c r="I7" t="s">
        <v>55</v>
      </c>
      <c r="J7" t="s">
        <v>49</v>
      </c>
    </row>
    <row r="8" spans="1:10" x14ac:dyDescent="0.2">
      <c r="A8" s="40" t="s">
        <v>48</v>
      </c>
      <c r="B8" s="40" t="s">
        <v>41</v>
      </c>
      <c r="C8" s="40" t="s">
        <v>34</v>
      </c>
      <c r="D8" t="s">
        <v>26</v>
      </c>
      <c r="E8">
        <v>22</v>
      </c>
      <c r="F8">
        <v>646596905</v>
      </c>
      <c r="G8" s="39" t="s">
        <v>57</v>
      </c>
      <c r="H8" t="s">
        <v>28</v>
      </c>
      <c r="I8" t="s">
        <v>56</v>
      </c>
      <c r="J8" t="s">
        <v>58</v>
      </c>
    </row>
  </sheetData>
  <phoneticPr fontId="4" type="noConversion"/>
  <hyperlinks>
    <hyperlink ref="G2" r:id="rId1" xr:uid="{39F3F4D5-E6F2-A14C-BDE0-21F652EBA5BE}"/>
    <hyperlink ref="G8" r:id="rId2" xr:uid="{CB7C9197-9CF9-F84E-84F9-A38F337BF1C2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Saisir</vt:lpstr>
      <vt:lpstr>BD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2023-11-19T17:08:25Z</dcterms:created>
  <dcterms:modified xsi:type="dcterms:W3CDTF">2023-11-20T14:30:48Z</dcterms:modified>
</cp:coreProperties>
</file>